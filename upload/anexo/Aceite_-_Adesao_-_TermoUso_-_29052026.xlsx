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emp\Maestria\SanCla\"/>
    </mc:Choice>
  </mc:AlternateContent>
  <bookViews>
    <workbookView xWindow="0" yWindow="0" windowWidth="28800" windowHeight="12180"/>
  </bookViews>
  <sheets>
    <sheet name="Termo de Uso" sheetId="1" r:id="rId1"/>
    <sheet name="Adesão" sheetId="2" r:id="rId2"/>
    <sheet name="Relação de Franqueado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2" i="3"/>
</calcChain>
</file>

<file path=xl/sharedStrings.xml><?xml version="1.0" encoding="utf-8"?>
<sst xmlns="http://schemas.openxmlformats.org/spreadsheetml/2006/main" count="216" uniqueCount="121">
  <si>
    <t>name</t>
  </si>
  <si>
    <t>email</t>
  </si>
  <si>
    <t>company_name</t>
  </si>
  <si>
    <t>viewed_at</t>
  </si>
  <si>
    <t>Bruno Gusmão</t>
  </si>
  <si>
    <t>bruno.gusmao@sancla.com.br</t>
  </si>
  <si>
    <t>Clínica Sancla Marilia</t>
  </si>
  <si>
    <t>Tainara Trombini</t>
  </si>
  <si>
    <t>tainara.trombini@sancla.com.br</t>
  </si>
  <si>
    <t>Clínica Sancla Arapongas</t>
  </si>
  <si>
    <t>Adriana Leite</t>
  </si>
  <si>
    <t>adrianavet2022@gmail.com</t>
  </si>
  <si>
    <t>A M DA SILVA LEITE - CLINICA VETERINARIA</t>
  </si>
  <si>
    <t>Carla Veronesi</t>
  </si>
  <si>
    <t>carlaveronesi@yahoo.com.br</t>
  </si>
  <si>
    <t>SanClá - Piraquara-PR</t>
  </si>
  <si>
    <t>Guilherme Avila</t>
  </si>
  <si>
    <t>guilherme.avila@sancla.com.br</t>
  </si>
  <si>
    <t>G A VET BARRETOS LTDA</t>
  </si>
  <si>
    <t>Fernanda Oliveira</t>
  </si>
  <si>
    <t>fernanda.oliveira@sancla.com.br</t>
  </si>
  <si>
    <t>OLIVEIRA &amp; OLIVEIRA - CLINICA VETERINARIA LTDA</t>
  </si>
  <si>
    <t>João Augusto Leonel de Souza</t>
  </si>
  <si>
    <t>desouza.ja@gmail.com</t>
  </si>
  <si>
    <t>SanClá - Araraquara-SP</t>
  </si>
  <si>
    <t>José Roberto Franchetto Filho</t>
  </si>
  <si>
    <t>vetpetribeirao@gmail.com</t>
  </si>
  <si>
    <t>SanClá - Ribeirão Preto-SP</t>
  </si>
  <si>
    <t>Bruna Krepki Rodrigues da Costa</t>
  </si>
  <si>
    <t>bruna.krepki@sancla.com.br</t>
  </si>
  <si>
    <t>SanClá - Boituva-SP</t>
  </si>
  <si>
    <t>Maria Teresa Maluf Novaes</t>
  </si>
  <si>
    <t>teresa.maluf@sancla.com.br</t>
  </si>
  <si>
    <t>Maluf e Margon Serviços Veterinários Ltda</t>
  </si>
  <si>
    <t>Diego Rossini</t>
  </si>
  <si>
    <t>1diegorossini@gmail.com</t>
  </si>
  <si>
    <t>CLINICA VETERINARIA ROSSINI LTDA</t>
  </si>
  <si>
    <t>Caroline Yonaha</t>
  </si>
  <si>
    <t>carollyonaha@gmail.com</t>
  </si>
  <si>
    <t>SanClá  - Maringá-PR</t>
  </si>
  <si>
    <t>18/05/2026 - 12:46:07</t>
  </si>
  <si>
    <t>18/05/2026 - 14:45:14</t>
  </si>
  <si>
    <t>18/05/2026 - 11:37:51</t>
  </si>
  <si>
    <t>18/05/2026 - 13:29:14</t>
  </si>
  <si>
    <t>18/05/2026 - 15:26:58</t>
  </si>
  <si>
    <t>18/05/2026 - 11:02:33</t>
  </si>
  <si>
    <t>18/05/2026 - 14:37:13</t>
  </si>
  <si>
    <t>18/05/2026 - 11:10:33</t>
  </si>
  <si>
    <t>18/05/2026 - 16:19:59</t>
  </si>
  <si>
    <t>18/05/2026 - 10:54:18</t>
  </si>
  <si>
    <t>18/05/2026 - 10:50:24</t>
  </si>
  <si>
    <t>18/05/2026 - 12:01:15</t>
  </si>
  <si>
    <t>MARIA TERESA MALUF NOVAES</t>
  </si>
  <si>
    <t>366.701.638-78</t>
  </si>
  <si>
    <t>(64)98102-3363</t>
  </si>
  <si>
    <t>Implantação</t>
  </si>
  <si>
    <t>280.883.128-50</t>
  </si>
  <si>
    <t>carla.veronesi@sancla.com.br</t>
  </si>
  <si>
    <t>(41)98723-1047</t>
  </si>
  <si>
    <t>Inaugurada</t>
  </si>
  <si>
    <t>ISABELLA BRITO FERREIRA DA SILVA</t>
  </si>
  <si>
    <t>417.912.398-38</t>
  </si>
  <si>
    <t>isabella.brito@sancla.com.br</t>
  </si>
  <si>
    <t>(14)99725-6251</t>
  </si>
  <si>
    <t>FERNANDA MARIA DE OLIVIERA DIAS</t>
  </si>
  <si>
    <t>054.973.019-24</t>
  </si>
  <si>
    <t>(43)996922367</t>
  </si>
  <si>
    <t>DEBORAH MARIA DE OLIVEIRA SOUZA SCHNEIDER</t>
  </si>
  <si>
    <t>081.087.386-95</t>
  </si>
  <si>
    <t>deborah.schneider@sancla.com.br</t>
  </si>
  <si>
    <t>(16)99646-7925</t>
  </si>
  <si>
    <t>GUILHERME HENRIQUE DE AVILA</t>
  </si>
  <si>
    <t>215.983.578-16</t>
  </si>
  <si>
    <t>guibarretos@gmail.com</t>
  </si>
  <si>
    <t>(17)99111-9904</t>
  </si>
  <si>
    <t>BRUNA KREPKI RODRIGUES DA COSTA</t>
  </si>
  <si>
    <t>443.183.368-40</t>
  </si>
  <si>
    <t>(15)99772-8752</t>
  </si>
  <si>
    <t>354.077.498-07</t>
  </si>
  <si>
    <t>joao.souza@sancla.com.br</t>
  </si>
  <si>
    <t>(16)99799-6543</t>
  </si>
  <si>
    <t>916.777.852-68</t>
  </si>
  <si>
    <t>roberto.franchetto@sancla.com.br</t>
  </si>
  <si>
    <t>(16)99378-1089</t>
  </si>
  <si>
    <t>041.113.339-07</t>
  </si>
  <si>
    <t>diego.rossini@sancla.com.br</t>
  </si>
  <si>
    <t>(49)99992-0784</t>
  </si>
  <si>
    <t>CARLOS ALBERTO MUNDIM JUNIOR</t>
  </si>
  <si>
    <t>836.175.909-3</t>
  </si>
  <si>
    <t>carlos.mundim@sancla.com.br</t>
  </si>
  <si>
    <t>(41)99835-0888</t>
  </si>
  <si>
    <t>mundimvetsocial@outlook.com</t>
  </si>
  <si>
    <t>Ana Carolina Grzegorczyk</t>
  </si>
  <si>
    <t>caroline.yonaha@sancla.com.br</t>
  </si>
  <si>
    <t>(43)99140-7822</t>
  </si>
  <si>
    <t>CNPJ</t>
  </si>
  <si>
    <t>Sócio</t>
  </si>
  <si>
    <t>CPF</t>
  </si>
  <si>
    <t>E-mail</t>
  </si>
  <si>
    <t>Celular</t>
  </si>
  <si>
    <t>Status</t>
  </si>
  <si>
    <t>Coluna3</t>
  </si>
  <si>
    <t>409.554.038-98</t>
  </si>
  <si>
    <t>(14)99879-5439</t>
  </si>
  <si>
    <t>Gabriel Eliseo Saqueto</t>
  </si>
  <si>
    <t>369.462.398-14</t>
  </si>
  <si>
    <t>gabriel.saqueto@sancla.com.br</t>
  </si>
  <si>
    <t>(18)99751-5357</t>
  </si>
  <si>
    <t>gasaqueto@gmail.com</t>
  </si>
  <si>
    <t>Tainara Flanderson Rosa</t>
  </si>
  <si>
    <t>063.870.269-03</t>
  </si>
  <si>
    <t>(43)99912-3728</t>
  </si>
  <si>
    <t>Adriana Maria da Silva Leite</t>
  </si>
  <si>
    <t>213.940.548-07</t>
  </si>
  <si>
    <t>adriana.leite@sancla.com.br</t>
  </si>
  <si>
    <t>(61)99647-0326</t>
  </si>
  <si>
    <t>ADESÂO EM</t>
  </si>
  <si>
    <t>TERMO DE USO EM</t>
  </si>
  <si>
    <t>Carlos Alberto Mundim Júnior</t>
  </si>
  <si>
    <t>SanClá - Curitiba CIC-PR</t>
  </si>
  <si>
    <t>25/05/2026 - 12:19:05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</si>
</sst>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"/>
    <numFmt numFmtId="166" formatCode="d/m/yy\ h:mm;@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49" fontId="0" fillId="0" borderId="0" xfId="0" applyNumberFormat="1"/>
    <xf numFmtId="0" fontId="1" fillId="0" borderId="0" xfId="1"/>
    <xf numFmtId="164" fontId="1" fillId="0" borderId="0" xfId="1" applyNumberFormat="1"/>
    <xf numFmtId="0" fontId="4" fillId="2" borderId="0" xfId="1" applyFont="1" applyFill="1" applyAlignment="1">
      <alignment horizontal="center" vertical="center"/>
    </xf>
    <xf numFmtId="0" fontId="1" fillId="0" borderId="0" xfId="1" applyAlignment="1">
      <alignment horizontal="center"/>
    </xf>
    <xf numFmtId="0" fontId="4" fillId="3" borderId="0" xfId="1" applyFont="1" applyFill="1" applyAlignment="1">
      <alignment horizontal="center"/>
    </xf>
    <xf numFmtId="166" fontId="0" fillId="0" borderId="0" xfId="0" applyNumberFormat="1"/>
    <xf numFmtId="0" fontId="0" fillId="4" borderId="0" xfId="0" applyFill="1"/>
    <xf numFmtId="166" fontId="0" fillId="4" borderId="0" xfId="0" applyNumberFormat="1" applyFill="1"/>
    <xf numFmtId="164" fontId="1" fillId="4" borderId="0" xfId="1" applyNumberFormat="1" applyFill="1"/>
    <xf numFmtId="0" fontId="1" fillId="4" borderId="0" xfId="1" applyFill="1"/>
    <xf numFmtId="0" fontId="4" fillId="4" borderId="0" xfId="1" applyFont="1" applyFill="1" applyAlignment="1">
      <alignment horizontal="center" vertical="center"/>
    </xf>
    <xf numFmtId="0" fontId="4" fillId="4" borderId="0" xfId="1" applyFont="1" applyFill="1" applyAlignment="1">
      <alignment horizontal="center"/>
    </xf>
  </cellXfs>
  <cellStyles count="4">
    <cellStyle name="Hiperlink 2" xfId="3"/>
    <cellStyle name="Normal" xfId="0" builtinId="0"/>
    <cellStyle name="Normal 2" xfId="1"/>
    <cellStyle name="Normal 3" xfId="2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Unidades Sanclá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1diegorossini@gmail.com" TargetMode="External"/><Relationship Id="rId3" Type="http://schemas.openxmlformats.org/officeDocument/2006/relationships/hyperlink" Target="mailto:carlaveronesi@yahoo.com.br" TargetMode="External"/><Relationship Id="rId7" Type="http://schemas.openxmlformats.org/officeDocument/2006/relationships/hyperlink" Target="mailto:diego.rossini@sancla.com.br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mailto:gabriel.saqueto@sancla.com.br" TargetMode="External"/><Relationship Id="rId1" Type="http://schemas.openxmlformats.org/officeDocument/2006/relationships/hyperlink" Target="mailto:tainara.trombini@sancla.com.br" TargetMode="External"/><Relationship Id="rId6" Type="http://schemas.openxmlformats.org/officeDocument/2006/relationships/hyperlink" Target="mailto:vetpetribeirao@gmail.com" TargetMode="External"/><Relationship Id="rId11" Type="http://schemas.openxmlformats.org/officeDocument/2006/relationships/hyperlink" Target="mailto:gasaqueto@gmail.com" TargetMode="External"/><Relationship Id="rId5" Type="http://schemas.openxmlformats.org/officeDocument/2006/relationships/hyperlink" Target="mailto:desouza.ja@gmail.com" TargetMode="External"/><Relationship Id="rId10" Type="http://schemas.openxmlformats.org/officeDocument/2006/relationships/hyperlink" Target="mailto:carollyonaha@gmail.com" TargetMode="External"/><Relationship Id="rId4" Type="http://schemas.openxmlformats.org/officeDocument/2006/relationships/hyperlink" Target="mailto:guilherme.avila@sancla.com.br" TargetMode="External"/><Relationship Id="rId9" Type="http://schemas.openxmlformats.org/officeDocument/2006/relationships/hyperlink" Target="mailto:mundimvetsocial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/>
  </sheetViews>
  <sheetFormatPr defaultRowHeight="15" x14ac:dyDescent="0.25"/>
  <cols>
    <col min="1" max="1" width="30.140625" bestFit="1" customWidth="1"/>
    <col min="2" max="2" width="31" bestFit="1" customWidth="1"/>
    <col min="3" max="3" width="46.42578125" bestFit="1" customWidth="1"/>
    <col min="4" max="4" width="27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40</v>
      </c>
    </row>
    <row r="3" spans="1:4" x14ac:dyDescent="0.25">
      <c r="A3" s="1" t="s">
        <v>7</v>
      </c>
      <c r="B3" s="1" t="s">
        <v>8</v>
      </c>
      <c r="C3" s="1" t="s">
        <v>9</v>
      </c>
      <c r="D3" s="1" t="s">
        <v>41</v>
      </c>
    </row>
    <row r="4" spans="1:4" x14ac:dyDescent="0.25">
      <c r="A4" s="1" t="s">
        <v>10</v>
      </c>
      <c r="B4" s="1" t="s">
        <v>11</v>
      </c>
      <c r="C4" s="1" t="s">
        <v>12</v>
      </c>
      <c r="D4" s="1" t="s">
        <v>42</v>
      </c>
    </row>
    <row r="5" spans="1:4" x14ac:dyDescent="0.25">
      <c r="A5" s="1" t="s">
        <v>13</v>
      </c>
      <c r="B5" s="1" t="s">
        <v>14</v>
      </c>
      <c r="C5" s="1" t="s">
        <v>15</v>
      </c>
      <c r="D5" s="1" t="s">
        <v>43</v>
      </c>
    </row>
    <row r="6" spans="1:4" x14ac:dyDescent="0.25">
      <c r="A6" s="1" t="s">
        <v>16</v>
      </c>
      <c r="B6" s="1" t="s">
        <v>17</v>
      </c>
      <c r="C6" s="1" t="s">
        <v>18</v>
      </c>
      <c r="D6" s="1" t="s">
        <v>44</v>
      </c>
    </row>
    <row r="7" spans="1:4" x14ac:dyDescent="0.25">
      <c r="A7" s="1" t="s">
        <v>19</v>
      </c>
      <c r="B7" s="1" t="s">
        <v>20</v>
      </c>
      <c r="C7" s="1" t="s">
        <v>21</v>
      </c>
      <c r="D7" s="1" t="s">
        <v>45</v>
      </c>
    </row>
    <row r="8" spans="1:4" x14ac:dyDescent="0.25">
      <c r="A8" s="1" t="s">
        <v>22</v>
      </c>
      <c r="B8" s="1" t="s">
        <v>23</v>
      </c>
      <c r="C8" s="1" t="s">
        <v>24</v>
      </c>
      <c r="D8" s="1" t="s">
        <v>46</v>
      </c>
    </row>
    <row r="9" spans="1:4" x14ac:dyDescent="0.25">
      <c r="A9" s="1" t="s">
        <v>25</v>
      </c>
      <c r="B9" s="1" t="s">
        <v>26</v>
      </c>
      <c r="C9" s="1" t="s">
        <v>27</v>
      </c>
      <c r="D9" s="1" t="s">
        <v>47</v>
      </c>
    </row>
    <row r="10" spans="1:4" x14ac:dyDescent="0.25">
      <c r="A10" s="1" t="s">
        <v>28</v>
      </c>
      <c r="B10" s="1" t="s">
        <v>29</v>
      </c>
      <c r="C10" s="1" t="s">
        <v>30</v>
      </c>
      <c r="D10" s="1" t="s">
        <v>48</v>
      </c>
    </row>
    <row r="11" spans="1:4" x14ac:dyDescent="0.25">
      <c r="A11" s="1" t="s">
        <v>31</v>
      </c>
      <c r="B11" s="1" t="s">
        <v>32</v>
      </c>
      <c r="C11" s="1" t="s">
        <v>33</v>
      </c>
      <c r="D11" s="1" t="s">
        <v>49</v>
      </c>
    </row>
    <row r="12" spans="1:4" x14ac:dyDescent="0.25">
      <c r="A12" s="1" t="s">
        <v>34</v>
      </c>
      <c r="B12" s="1" t="s">
        <v>35</v>
      </c>
      <c r="C12" s="1" t="s">
        <v>36</v>
      </c>
      <c r="D12" s="1" t="s">
        <v>50</v>
      </c>
    </row>
    <row r="13" spans="1:4" x14ac:dyDescent="0.25">
      <c r="A13" s="1" t="s">
        <v>37</v>
      </c>
      <c r="B13" s="1" t="s">
        <v>38</v>
      </c>
      <c r="C13" s="1" t="s">
        <v>39</v>
      </c>
      <c r="D13" s="1" t="s">
        <v>51</v>
      </c>
    </row>
    <row r="14" spans="1:4" x14ac:dyDescent="0.25">
      <c r="A14" s="8" t="s">
        <v>118</v>
      </c>
      <c r="B14" s="8" t="s">
        <v>91</v>
      </c>
      <c r="C14" s="8" t="s">
        <v>119</v>
      </c>
      <c r="D14" s="9" t="s">
        <v>120</v>
      </c>
    </row>
    <row r="19" spans="4:4" x14ac:dyDescent="0.25">
      <c r="D19" s="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A17" sqref="A17"/>
    </sheetView>
  </sheetViews>
  <sheetFormatPr defaultRowHeight="15" x14ac:dyDescent="0.25"/>
  <cols>
    <col min="1" max="1" width="30.140625" bestFit="1" customWidth="1"/>
    <col min="2" max="2" width="31" bestFit="1" customWidth="1"/>
    <col min="3" max="3" width="46.42578125" bestFit="1" customWidth="1"/>
    <col min="4" max="4" width="19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40</v>
      </c>
    </row>
    <row r="3" spans="1:4" x14ac:dyDescent="0.25">
      <c r="A3" t="s">
        <v>7</v>
      </c>
      <c r="B3" t="s">
        <v>8</v>
      </c>
      <c r="C3" t="s">
        <v>9</v>
      </c>
      <c r="D3" t="s">
        <v>41</v>
      </c>
    </row>
    <row r="4" spans="1:4" x14ac:dyDescent="0.25">
      <c r="A4" t="s">
        <v>10</v>
      </c>
      <c r="B4" t="s">
        <v>11</v>
      </c>
      <c r="C4" t="s">
        <v>12</v>
      </c>
      <c r="D4" t="s">
        <v>42</v>
      </c>
    </row>
    <row r="5" spans="1:4" x14ac:dyDescent="0.25">
      <c r="A5" t="s">
        <v>13</v>
      </c>
      <c r="B5" t="s">
        <v>14</v>
      </c>
      <c r="C5" t="s">
        <v>15</v>
      </c>
      <c r="D5" t="s">
        <v>43</v>
      </c>
    </row>
    <row r="6" spans="1:4" x14ac:dyDescent="0.25">
      <c r="A6" t="s">
        <v>16</v>
      </c>
      <c r="B6" t="s">
        <v>17</v>
      </c>
      <c r="C6" t="s">
        <v>18</v>
      </c>
      <c r="D6" t="s">
        <v>44</v>
      </c>
    </row>
    <row r="7" spans="1:4" x14ac:dyDescent="0.25">
      <c r="A7" t="s">
        <v>19</v>
      </c>
      <c r="B7" t="s">
        <v>20</v>
      </c>
      <c r="C7" t="s">
        <v>21</v>
      </c>
      <c r="D7" t="s">
        <v>45</v>
      </c>
    </row>
    <row r="8" spans="1:4" x14ac:dyDescent="0.25">
      <c r="A8" t="s">
        <v>22</v>
      </c>
      <c r="B8" t="s">
        <v>23</v>
      </c>
      <c r="C8" t="s">
        <v>24</v>
      </c>
      <c r="D8" t="s">
        <v>46</v>
      </c>
    </row>
    <row r="9" spans="1:4" x14ac:dyDescent="0.25">
      <c r="A9" t="s">
        <v>25</v>
      </c>
      <c r="B9" t="s">
        <v>26</v>
      </c>
      <c r="C9" t="s">
        <v>27</v>
      </c>
      <c r="D9" t="s">
        <v>47</v>
      </c>
    </row>
    <row r="10" spans="1:4" x14ac:dyDescent="0.25">
      <c r="A10" t="s">
        <v>28</v>
      </c>
      <c r="B10" t="s">
        <v>29</v>
      </c>
      <c r="C10" t="s">
        <v>30</v>
      </c>
      <c r="D10" t="s">
        <v>48</v>
      </c>
    </row>
    <row r="11" spans="1:4" x14ac:dyDescent="0.25">
      <c r="A11" t="s">
        <v>31</v>
      </c>
      <c r="B11" t="s">
        <v>32</v>
      </c>
      <c r="C11" t="s">
        <v>33</v>
      </c>
      <c r="D11" t="s">
        <v>49</v>
      </c>
    </row>
    <row r="12" spans="1:4" x14ac:dyDescent="0.25">
      <c r="A12" t="s">
        <v>34</v>
      </c>
      <c r="B12" t="s">
        <v>35</v>
      </c>
      <c r="C12" t="s">
        <v>36</v>
      </c>
      <c r="D12" t="s">
        <v>50</v>
      </c>
    </row>
    <row r="13" spans="1:4" x14ac:dyDescent="0.25">
      <c r="A13" t="s">
        <v>37</v>
      </c>
      <c r="B13" t="s">
        <v>38</v>
      </c>
      <c r="C13" t="s">
        <v>39</v>
      </c>
      <c r="D13" t="s">
        <v>51</v>
      </c>
    </row>
    <row r="14" spans="1:4" x14ac:dyDescent="0.25">
      <c r="A14" s="8" t="s">
        <v>118</v>
      </c>
      <c r="B14" s="8" t="s">
        <v>91</v>
      </c>
      <c r="C14" s="8" t="s">
        <v>119</v>
      </c>
      <c r="D14" s="9" t="s">
        <v>120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H20" sqref="H20"/>
    </sheetView>
  </sheetViews>
  <sheetFormatPr defaultRowHeight="12.75" x14ac:dyDescent="0.2"/>
  <cols>
    <col min="1" max="1" width="15.140625" style="3" bestFit="1" customWidth="1"/>
    <col min="2" max="2" width="39.42578125" style="2" bestFit="1" customWidth="1"/>
    <col min="3" max="3" width="13.5703125" style="2" bestFit="1" customWidth="1"/>
    <col min="4" max="4" width="29.140625" style="2" bestFit="1" customWidth="1"/>
    <col min="5" max="5" width="13.85546875" style="2" bestFit="1" customWidth="1"/>
    <col min="6" max="6" width="11" style="2" bestFit="1" customWidth="1"/>
    <col min="7" max="7" width="29.140625" style="2" bestFit="1" customWidth="1"/>
    <col min="8" max="8" width="27.28515625" style="2" bestFit="1" customWidth="1"/>
    <col min="9" max="9" width="29.140625" style="5" bestFit="1" customWidth="1"/>
    <col min="10" max="16384" width="9.140625" style="2"/>
  </cols>
  <sheetData>
    <row r="1" spans="1:9" x14ac:dyDescent="0.2">
      <c r="A1" s="3" t="s">
        <v>95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4" t="s">
        <v>116</v>
      </c>
      <c r="I1" s="6" t="s">
        <v>117</v>
      </c>
    </row>
    <row r="2" spans="1:9" x14ac:dyDescent="0.2">
      <c r="A2" s="3">
        <v>49258071000188</v>
      </c>
      <c r="B2" s="2" t="s">
        <v>4</v>
      </c>
      <c r="C2" s="2" t="s">
        <v>102</v>
      </c>
      <c r="D2" s="2" t="s">
        <v>5</v>
      </c>
      <c r="E2" s="2" t="s">
        <v>103</v>
      </c>
      <c r="F2" s="2" t="s">
        <v>59</v>
      </c>
      <c r="G2" s="2" t="s">
        <v>5</v>
      </c>
      <c r="H2" s="4" t="str">
        <f>VLOOKUP(G2,Adesão!$B$1:$D$14,3,FALSE)</f>
        <v>18/05/2026 - 12:46:07</v>
      </c>
      <c r="I2" s="6" t="str">
        <f>VLOOKUP(G2,'Termo de Uso'!$B$1:$D$14,3,FALSE)</f>
        <v>18/05/2026 - 12:46:07</v>
      </c>
    </row>
    <row r="3" spans="1:9" x14ac:dyDescent="0.2">
      <c r="A3" s="3">
        <v>62678603000102</v>
      </c>
      <c r="B3" s="2" t="s">
        <v>104</v>
      </c>
      <c r="C3" s="2" t="s">
        <v>105</v>
      </c>
      <c r="D3" s="2" t="s">
        <v>106</v>
      </c>
      <c r="E3" s="2" t="s">
        <v>107</v>
      </c>
      <c r="F3" s="2" t="s">
        <v>55</v>
      </c>
      <c r="G3" s="2" t="s">
        <v>108</v>
      </c>
      <c r="H3" s="4" t="e">
        <f>VLOOKUP(G3,Adesão!$B$1:$D$14,3,FALSE)</f>
        <v>#N/A</v>
      </c>
      <c r="I3" s="6" t="e">
        <f>VLOOKUP(G3,'Termo de Uso'!$B$1:$D$14,3,FALSE)</f>
        <v>#N/A</v>
      </c>
    </row>
    <row r="4" spans="1:9" x14ac:dyDescent="0.2">
      <c r="A4" s="3">
        <v>54689652000104</v>
      </c>
      <c r="B4" s="2" t="s">
        <v>109</v>
      </c>
      <c r="C4" s="2" t="s">
        <v>110</v>
      </c>
      <c r="D4" s="2" t="s">
        <v>8</v>
      </c>
      <c r="E4" s="2" t="s">
        <v>111</v>
      </c>
      <c r="F4" s="2" t="s">
        <v>59</v>
      </c>
      <c r="G4" s="2" t="s">
        <v>8</v>
      </c>
      <c r="H4" s="4" t="str">
        <f>VLOOKUP(G4,Adesão!$B$1:$D$14,3,FALSE)</f>
        <v>18/05/2026 - 14:45:14</v>
      </c>
      <c r="I4" s="6" t="str">
        <f>VLOOKUP(G4,'Termo de Uso'!$B$1:$D$14,3,FALSE)</f>
        <v>18/05/2026 - 14:45:14</v>
      </c>
    </row>
    <row r="5" spans="1:9" x14ac:dyDescent="0.2">
      <c r="A5" s="3">
        <v>40823994000160</v>
      </c>
      <c r="B5" s="2" t="s">
        <v>112</v>
      </c>
      <c r="C5" s="2" t="s">
        <v>113</v>
      </c>
      <c r="D5" s="2" t="s">
        <v>114</v>
      </c>
      <c r="E5" s="2" t="s">
        <v>115</v>
      </c>
      <c r="F5" s="2" t="s">
        <v>59</v>
      </c>
      <c r="G5" s="2" t="s">
        <v>11</v>
      </c>
      <c r="H5" s="4" t="str">
        <f>VLOOKUP(G5,Adesão!$B$1:$D$14,3,FALSE)</f>
        <v>18/05/2026 - 11:37:51</v>
      </c>
      <c r="I5" s="6" t="str">
        <f>VLOOKUP(G5,'Termo de Uso'!$B$1:$D$14,3,FALSE)</f>
        <v>18/05/2026 - 11:37:51</v>
      </c>
    </row>
    <row r="6" spans="1:9" x14ac:dyDescent="0.2">
      <c r="A6" s="3">
        <v>59244700000174</v>
      </c>
      <c r="B6" s="2" t="s">
        <v>52</v>
      </c>
      <c r="C6" s="2" t="s">
        <v>53</v>
      </c>
      <c r="D6" s="2" t="s">
        <v>32</v>
      </c>
      <c r="E6" s="2" t="s">
        <v>54</v>
      </c>
      <c r="F6" s="2" t="s">
        <v>55</v>
      </c>
      <c r="G6" s="2" t="s">
        <v>32</v>
      </c>
      <c r="H6" s="4" t="str">
        <f>VLOOKUP(G6,Adesão!$B$1:$D$14,3,FALSE)</f>
        <v>18/05/2026 - 10:54:18</v>
      </c>
      <c r="I6" s="6" t="str">
        <f>VLOOKUP(G6,'Termo de Uso'!$B$1:$D$14,3,FALSE)</f>
        <v>18/05/2026 - 10:54:18</v>
      </c>
    </row>
    <row r="7" spans="1:9" x14ac:dyDescent="0.2">
      <c r="A7" s="3">
        <v>36345927000100</v>
      </c>
      <c r="B7" s="2" t="s">
        <v>13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14</v>
      </c>
      <c r="H7" s="4" t="str">
        <f>VLOOKUP(G7,Adesão!$B$1:$D$14,3,FALSE)</f>
        <v>18/05/2026 - 13:29:14</v>
      </c>
      <c r="I7" s="6" t="str">
        <f>VLOOKUP(G7,'Termo de Uso'!$B$1:$D$14,3,FALSE)</f>
        <v>18/05/2026 - 13:29:14</v>
      </c>
    </row>
    <row r="8" spans="1:9" x14ac:dyDescent="0.2">
      <c r="A8" s="3">
        <v>49319069000171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59</v>
      </c>
      <c r="G8" s="2" t="s">
        <v>62</v>
      </c>
      <c r="H8" s="4" t="e">
        <f>VLOOKUP(G8,Adesão!$B$1:$D$14,3,FALSE)</f>
        <v>#N/A</v>
      </c>
      <c r="I8" s="6" t="e">
        <f>VLOOKUP(G8,'Termo de Uso'!$B$1:$D$14,3,FALSE)</f>
        <v>#N/A</v>
      </c>
    </row>
    <row r="9" spans="1:9" x14ac:dyDescent="0.2">
      <c r="A9" s="3">
        <v>60838272000197</v>
      </c>
      <c r="B9" s="2" t="s">
        <v>64</v>
      </c>
      <c r="C9" s="2" t="s">
        <v>65</v>
      </c>
      <c r="D9" s="2" t="s">
        <v>20</v>
      </c>
      <c r="E9" s="2" t="s">
        <v>66</v>
      </c>
      <c r="F9" s="2" t="s">
        <v>59</v>
      </c>
      <c r="G9" s="2" t="s">
        <v>20</v>
      </c>
      <c r="H9" s="4" t="str">
        <f>VLOOKUP(G9,Adesão!$B$1:$D$14,3,FALSE)</f>
        <v>18/05/2026 - 11:02:33</v>
      </c>
      <c r="I9" s="6" t="str">
        <f>VLOOKUP(G9,'Termo de Uso'!$B$1:$D$14,3,FALSE)</f>
        <v>18/05/2026 - 11:02:33</v>
      </c>
    </row>
    <row r="10" spans="1:9" x14ac:dyDescent="0.2">
      <c r="A10" s="3">
        <v>21094324000106</v>
      </c>
      <c r="B10" s="2" t="s">
        <v>67</v>
      </c>
      <c r="C10" s="2" t="s">
        <v>68</v>
      </c>
      <c r="D10" s="2" t="s">
        <v>69</v>
      </c>
      <c r="E10" s="2" t="s">
        <v>70</v>
      </c>
      <c r="F10" s="2" t="s">
        <v>59</v>
      </c>
      <c r="G10" s="2" t="s">
        <v>69</v>
      </c>
      <c r="H10" s="4" t="e">
        <f>VLOOKUP(G10,Adesão!$B$1:$D$14,3,FALSE)</f>
        <v>#N/A</v>
      </c>
      <c r="I10" s="6" t="e">
        <f>VLOOKUP(G10,'Termo de Uso'!$B$1:$D$14,3,FALSE)</f>
        <v>#N/A</v>
      </c>
    </row>
    <row r="11" spans="1:9" x14ac:dyDescent="0.2">
      <c r="A11" s="3">
        <v>46572980000106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59</v>
      </c>
      <c r="G11" s="2" t="s">
        <v>17</v>
      </c>
      <c r="H11" s="4" t="str">
        <f>VLOOKUP(G11,Adesão!$B$1:$D$14,3,FALSE)</f>
        <v>18/05/2026 - 15:26:58</v>
      </c>
      <c r="I11" s="6" t="str">
        <f>VLOOKUP(G11,'Termo de Uso'!$B$1:$D$14,3,FALSE)</f>
        <v>18/05/2026 - 15:26:58</v>
      </c>
    </row>
    <row r="12" spans="1:9" x14ac:dyDescent="0.2">
      <c r="A12" s="3">
        <v>62413086000131</v>
      </c>
      <c r="B12" s="2" t="s">
        <v>75</v>
      </c>
      <c r="C12" s="2" t="s">
        <v>76</v>
      </c>
      <c r="D12" s="2" t="s">
        <v>29</v>
      </c>
      <c r="E12" s="2" t="s">
        <v>77</v>
      </c>
      <c r="F12" s="2" t="s">
        <v>59</v>
      </c>
      <c r="G12" s="2" t="s">
        <v>29</v>
      </c>
      <c r="H12" s="4" t="str">
        <f>VLOOKUP(G12,Adesão!$B$1:$D$14,3,FALSE)</f>
        <v>18/05/2026 - 16:19:59</v>
      </c>
      <c r="I12" s="6" t="str">
        <f>VLOOKUP(G12,'Termo de Uso'!$B$1:$D$14,3,FALSE)</f>
        <v>18/05/2026 - 16:19:59</v>
      </c>
    </row>
    <row r="13" spans="1:9" x14ac:dyDescent="0.2">
      <c r="A13" s="3">
        <v>40505990000134</v>
      </c>
      <c r="B13" s="2" t="s">
        <v>22</v>
      </c>
      <c r="C13" s="2" t="s">
        <v>78</v>
      </c>
      <c r="D13" s="2" t="s">
        <v>79</v>
      </c>
      <c r="E13" s="2" t="s">
        <v>80</v>
      </c>
      <c r="F13" s="2" t="s">
        <v>59</v>
      </c>
      <c r="G13" s="2" t="s">
        <v>23</v>
      </c>
      <c r="H13" s="4" t="str">
        <f>VLOOKUP(G13,Adesão!$B$1:$D$14,3,FALSE)</f>
        <v>18/05/2026 - 14:37:13</v>
      </c>
      <c r="I13" s="6" t="str">
        <f>VLOOKUP(G13,'Termo de Uso'!$B$1:$D$14,3,FALSE)</f>
        <v>18/05/2026 - 14:37:13</v>
      </c>
    </row>
    <row r="14" spans="1:9" x14ac:dyDescent="0.2">
      <c r="A14" s="3">
        <v>27206389000182</v>
      </c>
      <c r="B14" s="2" t="s">
        <v>25</v>
      </c>
      <c r="C14" s="2" t="s">
        <v>81</v>
      </c>
      <c r="D14" s="2" t="s">
        <v>82</v>
      </c>
      <c r="E14" s="2" t="s">
        <v>83</v>
      </c>
      <c r="F14" s="2" t="s">
        <v>55</v>
      </c>
      <c r="G14" s="2" t="s">
        <v>26</v>
      </c>
      <c r="H14" s="4" t="str">
        <f>VLOOKUP(G14,Adesão!$B$1:$D$14,3,FALSE)</f>
        <v>18/05/2026 - 11:10:33</v>
      </c>
      <c r="I14" s="6" t="str">
        <f>VLOOKUP(G14,'Termo de Uso'!$B$1:$D$14,3,FALSE)</f>
        <v>18/05/2026 - 11:10:33</v>
      </c>
    </row>
    <row r="15" spans="1:9" x14ac:dyDescent="0.2">
      <c r="A15" s="3">
        <v>18312756000131</v>
      </c>
      <c r="B15" s="2" t="s">
        <v>34</v>
      </c>
      <c r="C15" s="2" t="s">
        <v>84</v>
      </c>
      <c r="D15" s="2" t="s">
        <v>85</v>
      </c>
      <c r="E15" s="2" t="s">
        <v>86</v>
      </c>
      <c r="F15" s="2" t="s">
        <v>55</v>
      </c>
      <c r="G15" s="2" t="s">
        <v>35</v>
      </c>
      <c r="H15" s="4" t="str">
        <f>VLOOKUP(G15,Adesão!$B$1:$D$14,3,FALSE)</f>
        <v>18/05/2026 - 10:50:24</v>
      </c>
      <c r="I15" s="6" t="str">
        <f>VLOOKUP(G15,'Termo de Uso'!$B$1:$D$14,3,FALSE)</f>
        <v>18/05/2026 - 10:50:24</v>
      </c>
    </row>
    <row r="16" spans="1:9" x14ac:dyDescent="0.2">
      <c r="A16" s="10">
        <v>43230718000187</v>
      </c>
      <c r="B16" s="11" t="s">
        <v>87</v>
      </c>
      <c r="C16" s="11" t="s">
        <v>88</v>
      </c>
      <c r="D16" s="11" t="s">
        <v>89</v>
      </c>
      <c r="E16" s="11" t="s">
        <v>90</v>
      </c>
      <c r="F16" s="11" t="s">
        <v>55</v>
      </c>
      <c r="G16" s="11" t="s">
        <v>91</v>
      </c>
      <c r="H16" s="12" t="str">
        <f>VLOOKUP(G16,Adesão!$B$1:$D$14,3,FALSE)</f>
        <v>25/05/2026 - 12:19:05</v>
      </c>
      <c r="I16" s="13" t="str">
        <f>VLOOKUP(G16,'Termo de Uso'!$B$1:$D$14,3,FALSE)</f>
        <v>25/05/2026 - 12:19:05</v>
      </c>
    </row>
    <row r="17" spans="1:9" x14ac:dyDescent="0.2">
      <c r="A17" s="3">
        <v>42800452000106</v>
      </c>
      <c r="B17" s="2" t="s">
        <v>92</v>
      </c>
      <c r="D17" s="2" t="s">
        <v>93</v>
      </c>
      <c r="E17" s="2" t="s">
        <v>94</v>
      </c>
      <c r="F17" s="2" t="s">
        <v>59</v>
      </c>
      <c r="G17" s="2" t="s">
        <v>38</v>
      </c>
      <c r="H17" s="4" t="str">
        <f>VLOOKUP(G17,Adesão!$B$1:$D$14,3,FALSE)</f>
        <v>18/05/2026 - 12:01:15</v>
      </c>
      <c r="I17" s="6" t="str">
        <f>VLOOKUP(G17,'Termo de Uso'!$B$1:$D$14,3,FALSE)</f>
        <v>18/05/2026 - 12:01:15</v>
      </c>
    </row>
  </sheetData>
  <hyperlinks>
    <hyperlink ref="D4" r:id="rId1"/>
    <hyperlink ref="D3" r:id="rId2"/>
    <hyperlink ref="G7" r:id="rId3"/>
    <hyperlink ref="G11" r:id="rId4"/>
    <hyperlink ref="G13" r:id="rId5"/>
    <hyperlink ref="G14" r:id="rId6"/>
    <hyperlink ref="D15" r:id="rId7"/>
    <hyperlink ref="G15" r:id="rId8"/>
    <hyperlink ref="G16" r:id="rId9"/>
    <hyperlink ref="G17" r:id="rId10"/>
    <hyperlink ref="G3" r:id="rId11"/>
  </hyperlinks>
  <pageMargins left="0.511811024" right="0.511811024" top="0.78740157499999996" bottom="0.78740157499999996" header="0.31496062000000002" footer="0.31496062000000002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Termo de Uso</vt:lpstr>
      <vt:lpstr>Adesão</vt:lpstr>
      <vt:lpstr>Relação de Franqueados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Edmilson Vieira Gomes</dc:creator>
  <cp:lastModifiedBy>Edmilson Vieira Gomes</cp:lastModifiedBy>
  <dcterms:created xsi:type="dcterms:W3CDTF">2026-05-21T11:26:00Z</dcterms:created>
  <dcterms:modified xsi:type="dcterms:W3CDTF">2026-05-29T18:58:14Z</dcterms:modified>
</cp:coreProperties>
</file>